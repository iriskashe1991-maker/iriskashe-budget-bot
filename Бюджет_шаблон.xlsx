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Бюджет" sheetId="2" state="visible" r:id="rId4"/>
    <sheet name="Подуш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<sst xmlns="http://schemas.openxmlformats.org/spreadsheetml/2006/main" count="62" uniqueCount="60">
  <si>
    <t xml:space="preserve">КАК ПОЛЬЗОВАТЬСЯ ШАБЛОНОМ</t>
  </si>
  <si>
    <t xml:space="preserve">не по сценарию · шаблон @iriskashe</t>
  </si>
  <si>
    <t xml:space="preserve">Привет! Это простой шаблон личного бюджета от финдира. Ничего сложного — всё считается само.</t>
  </si>
  <si>
    <t xml:space="preserve">🟡 Жёлтые ячейки — главные настройки (процент накоплений, запас месяцев).</t>
  </si>
  <si>
    <t xml:space="preserve">🔵 Синие цифры — сюда вписываешь свои данные.</t>
  </si>
  <si>
    <t xml:space="preserve">⚫ Чёрные цифры — считаются автоматически, не трогай.</t>
  </si>
  <si>
    <t xml:space="preserve">ШАГ 1. Лист «Бюджет» — впиши доходы и расходы (синие ячейки).</t>
  </si>
  <si>
    <t xml:space="preserve">ШАГ 2. Поставь целевой % накоплений — шаблон покажет, сколько откладывать СРАЗУ с зарплаты.</t>
  </si>
  <si>
    <t xml:space="preserve">ШАГ 3. Смотри «Свободный остаток» — если минус, надо урезать переменные расходы.</t>
  </si>
  <si>
    <t xml:space="preserve">ШАГ 4. Лист «Подушка» — увидишь свою цель и за сколько месяцев её соберёшь.</t>
  </si>
  <si>
    <t xml:space="preserve">Правило № 1: сначала заплати себе. Откладывай в день зарплаты, а не «что останется».</t>
  </si>
  <si>
    <t xml:space="preserve">С любовью, Иришка | не по сценарию 🤩</t>
  </si>
  <si>
    <t xml:space="preserve">ЛИЧНЫЙ БЮДЖЕТ</t>
  </si>
  <si>
    <t xml:space="preserve">Месяц:</t>
  </si>
  <si>
    <t xml:space="preserve">июнь 2026</t>
  </si>
  <si>
    <t xml:space="preserve">ДОХОДЫ</t>
  </si>
  <si>
    <t xml:space="preserve">Зарплата</t>
  </si>
  <si>
    <t xml:space="preserve">Подработка / блог</t>
  </si>
  <si>
    <t xml:space="preserve">Прочее (вклады, кэшбэк, дивиденды)</t>
  </si>
  <si>
    <t xml:space="preserve">Доходы всего</t>
  </si>
  <si>
    <t xml:space="preserve">СНАЧАЛА ЗАПЛАТИ СЕБЕ</t>
  </si>
  <si>
    <t xml:space="preserve">Целевой % накоплений</t>
  </si>
  <si>
    <t xml:space="preserve">← ключевое правило: отложи СРАЗУ, потом трать</t>
  </si>
  <si>
    <t xml:space="preserve">Отложить по правилу</t>
  </si>
  <si>
    <t xml:space="preserve">Фактически отложила</t>
  </si>
  <si>
    <t xml:space="preserve">ОБЯЗАТЕЛЬНЫЕ РАСХОДЫ</t>
  </si>
  <si>
    <t xml:space="preserve">Аренда / ипотека</t>
  </si>
  <si>
    <t xml:space="preserve">Коммуналка</t>
  </si>
  <si>
    <t xml:space="preserve">Связь / интернет</t>
  </si>
  <si>
    <t xml:space="preserve">Кредиты</t>
  </si>
  <si>
    <t xml:space="preserve">Продукты</t>
  </si>
  <si>
    <t xml:space="preserve">Транспорт</t>
  </si>
  <si>
    <t xml:space="preserve">Обязательные всего</t>
  </si>
  <si>
    <t xml:space="preserve">ПЕРЕМЕННЫЕ РАСХОДЫ</t>
  </si>
  <si>
    <t xml:space="preserve">Кафе / доставка</t>
  </si>
  <si>
    <t xml:space="preserve">Развлечения</t>
  </si>
  <si>
    <t xml:space="preserve">Одежда</t>
  </si>
  <si>
    <t xml:space="preserve">Красота / уход</t>
  </si>
  <si>
    <t xml:space="preserve">Здоровье</t>
  </si>
  <si>
    <t xml:space="preserve">Прочее</t>
  </si>
  <si>
    <t xml:space="preserve">Переменные всего</t>
  </si>
  <si>
    <t xml:space="preserve">ИТОГО</t>
  </si>
  <si>
    <t xml:space="preserve">Расходы всего</t>
  </si>
  <si>
    <t xml:space="preserve">Накопления</t>
  </si>
  <si>
    <t xml:space="preserve">Свободный остаток</t>
  </si>
  <si>
    <t xml:space="preserve">если отрицательный — тратишь больше, чем зарабатываешь</t>
  </si>
  <si>
    <t xml:space="preserve">% накоплений факт</t>
  </si>
  <si>
    <t xml:space="preserve">ФИНАНСОВАЯ ПОДУШКА</t>
  </si>
  <si>
    <t xml:space="preserve">РАСЧЁТ ЦЕЛИ</t>
  </si>
  <si>
    <t xml:space="preserve">Месячные обязательные расходы</t>
  </si>
  <si>
    <t xml:space="preserve">← тянется из листа «Бюджет»</t>
  </si>
  <si>
    <t xml:space="preserve">Запас (месяцев)</t>
  </si>
  <si>
    <t xml:space="preserve">стабильный доход: 3–6 · нестабильный: 6–12</t>
  </si>
  <si>
    <t xml:space="preserve">Цель подушки</t>
  </si>
  <si>
    <t xml:space="preserve">ПРОГРЕСС</t>
  </si>
  <si>
    <t xml:space="preserve">Уже накоплено</t>
  </si>
  <si>
    <t xml:space="preserve">Осталось накопить</t>
  </si>
  <si>
    <t xml:space="preserve">Откладываю в месяц</t>
  </si>
  <si>
    <t xml:space="preserve">Соберу за (месяцев)</t>
  </si>
  <si>
    <t xml:space="preserve">Прогресс к цели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</si>
</sst>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₽&quot;;[RED]\(#,##0&quot; ₽)&quot;"/>
    <numFmt numFmtId="166" formatCode="0.0%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4FA3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1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C0392B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FF4FA3"/>
        <bgColor rgb="FFC0392B"/>
      </patternFill>
    </fill>
    <fill>
      <patternFill patternType="solid">
        <fgColor rgb="FFFBE0EE"/>
        <bgColor rgb="FFD9D9D9"/>
      </patternFill>
    </fill>
    <fill>
      <patternFill patternType="solid">
        <fgColor rgb="FFFFF59D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4FA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BE0E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26.8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6</v>
      </c>
    </row>
    <row r="12" customFormat="false" ht="26.85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4" t="s">
        <v>13</v>
      </c>
      <c r="B3" s="5" t="s">
        <v>14</v>
      </c>
    </row>
    <row r="5" customFormat="false" ht="15" hidden="false" customHeight="false" outlineLevel="0" collapsed="false">
      <c r="A5" s="6" t="s">
        <v>15</v>
      </c>
      <c r="B5" s="7"/>
    </row>
    <row r="6" customFormat="false" ht="15" hidden="false" customHeight="false" outlineLevel="0" collapsed="false">
      <c r="A6" s="4" t="s">
        <v>16</v>
      </c>
      <c r="B6" s="8" t="n">
        <v>120000</v>
      </c>
    </row>
    <row r="7" customFormat="false" ht="15" hidden="false" customHeight="false" outlineLevel="0" collapsed="false">
      <c r="A7" s="4" t="s">
        <v>17</v>
      </c>
      <c r="B7" s="8" t="n">
        <v>0</v>
      </c>
    </row>
    <row r="8" customFormat="false" ht="15" hidden="false" customHeight="false" outlineLevel="0" collapsed="false">
      <c r="A8" s="4" t="s">
        <v>18</v>
      </c>
      <c r="B8" s="8" t="n">
        <v>0</v>
      </c>
    </row>
    <row r="9" customFormat="false" ht="15" hidden="false" customHeight="false" outlineLevel="0" collapsed="false">
      <c r="A9" s="9" t="s">
        <v>19</v>
      </c>
      <c r="B9" s="10" t="n">
        <f aca="false">SUM(B6:B8)</f>
        <v>120000</v>
      </c>
    </row>
    <row r="11" customFormat="false" ht="15" hidden="false" customHeight="false" outlineLevel="0" collapsed="false">
      <c r="A11" s="6" t="s">
        <v>20</v>
      </c>
      <c r="B11" s="7"/>
    </row>
    <row r="12" customFormat="false" ht="15" hidden="false" customHeight="false" outlineLevel="0" collapsed="false">
      <c r="A12" s="4" t="s">
        <v>21</v>
      </c>
      <c r="B12" s="11" t="n">
        <v>0.2</v>
      </c>
      <c r="C12" s="2" t="s">
        <v>22</v>
      </c>
    </row>
    <row r="13" customFormat="false" ht="15" hidden="false" customHeight="false" outlineLevel="0" collapsed="false">
      <c r="A13" s="4" t="s">
        <v>23</v>
      </c>
      <c r="B13" s="12" t="n">
        <f aca="false">B9*B12</f>
        <v>24000</v>
      </c>
    </row>
    <row r="14" customFormat="false" ht="15" hidden="false" customHeight="false" outlineLevel="0" collapsed="false">
      <c r="A14" s="13" t="s">
        <v>24</v>
      </c>
      <c r="B14" s="8" t="n">
        <v>24000</v>
      </c>
    </row>
    <row r="16" customFormat="false" ht="15" hidden="false" customHeight="false" outlineLevel="0" collapsed="false">
      <c r="A16" s="6" t="s">
        <v>25</v>
      </c>
      <c r="B16" s="7"/>
    </row>
    <row r="17" customFormat="false" ht="15" hidden="false" customHeight="false" outlineLevel="0" collapsed="false">
      <c r="A17" s="4" t="s">
        <v>26</v>
      </c>
      <c r="B17" s="8" t="n">
        <v>35000</v>
      </c>
    </row>
    <row r="18" customFormat="false" ht="15" hidden="false" customHeight="false" outlineLevel="0" collapsed="false">
      <c r="A18" s="4" t="s">
        <v>27</v>
      </c>
      <c r="B18" s="8" t="n">
        <v>5000</v>
      </c>
    </row>
    <row r="19" customFormat="false" ht="15" hidden="false" customHeight="false" outlineLevel="0" collapsed="false">
      <c r="A19" s="4" t="s">
        <v>28</v>
      </c>
      <c r="B19" s="8" t="n">
        <v>1500</v>
      </c>
    </row>
    <row r="20" customFormat="false" ht="15" hidden="false" customHeight="false" outlineLevel="0" collapsed="false">
      <c r="A20" s="4" t="s">
        <v>29</v>
      </c>
      <c r="B20" s="8" t="n">
        <v>0</v>
      </c>
    </row>
    <row r="21" customFormat="false" ht="15" hidden="false" customHeight="false" outlineLevel="0" collapsed="false">
      <c r="A21" s="4" t="s">
        <v>30</v>
      </c>
      <c r="B21" s="8" t="n">
        <v>20000</v>
      </c>
    </row>
    <row r="22" customFormat="false" ht="15" hidden="false" customHeight="false" outlineLevel="0" collapsed="false">
      <c r="A22" s="4" t="s">
        <v>31</v>
      </c>
      <c r="B22" s="8" t="n">
        <v>4000</v>
      </c>
    </row>
    <row r="23" customFormat="false" ht="15" hidden="false" customHeight="false" outlineLevel="0" collapsed="false">
      <c r="A23" s="9" t="s">
        <v>32</v>
      </c>
      <c r="B23" s="10" t="n">
        <f aca="false">SUM(B17:B22)</f>
        <v>65500</v>
      </c>
    </row>
    <row r="25" customFormat="false" ht="15" hidden="false" customHeight="false" outlineLevel="0" collapsed="false">
      <c r="A25" s="6" t="s">
        <v>33</v>
      </c>
      <c r="B25" s="7"/>
    </row>
    <row r="26" customFormat="false" ht="15" hidden="false" customHeight="false" outlineLevel="0" collapsed="false">
      <c r="A26" s="4" t="s">
        <v>34</v>
      </c>
      <c r="B26" s="8" t="n">
        <v>6000</v>
      </c>
    </row>
    <row r="27" customFormat="false" ht="15" hidden="false" customHeight="false" outlineLevel="0" collapsed="false">
      <c r="A27" s="4" t="s">
        <v>35</v>
      </c>
      <c r="B27" s="8" t="n">
        <v>3000</v>
      </c>
    </row>
    <row r="28" customFormat="false" ht="15" hidden="false" customHeight="false" outlineLevel="0" collapsed="false">
      <c r="A28" s="4" t="s">
        <v>36</v>
      </c>
      <c r="B28" s="8" t="n">
        <v>4000</v>
      </c>
    </row>
    <row r="29" customFormat="false" ht="15" hidden="false" customHeight="false" outlineLevel="0" collapsed="false">
      <c r="A29" s="4" t="s">
        <v>37</v>
      </c>
      <c r="B29" s="8" t="n">
        <v>3000</v>
      </c>
    </row>
    <row r="30" customFormat="false" ht="15" hidden="false" customHeight="false" outlineLevel="0" collapsed="false">
      <c r="A30" s="4" t="s">
        <v>38</v>
      </c>
      <c r="B30" s="8" t="n">
        <v>2000</v>
      </c>
    </row>
    <row r="31" customFormat="false" ht="15" hidden="false" customHeight="false" outlineLevel="0" collapsed="false">
      <c r="A31" s="4" t="s">
        <v>39</v>
      </c>
      <c r="B31" s="8" t="n">
        <v>3000</v>
      </c>
    </row>
    <row r="32" customFormat="false" ht="15" hidden="false" customHeight="false" outlineLevel="0" collapsed="false">
      <c r="A32" s="9" t="s">
        <v>40</v>
      </c>
      <c r="B32" s="10" t="n">
        <f aca="false">SUM(B26:B31)</f>
        <v>21000</v>
      </c>
    </row>
    <row r="34" customFormat="false" ht="15" hidden="false" customHeight="false" outlineLevel="0" collapsed="false">
      <c r="A34" s="6" t="s">
        <v>41</v>
      </c>
      <c r="B34" s="7"/>
    </row>
    <row r="35" customFormat="false" ht="15" hidden="false" customHeight="false" outlineLevel="0" collapsed="false">
      <c r="A35" s="4" t="s">
        <v>42</v>
      </c>
      <c r="B35" s="12" t="n">
        <f aca="false">B23+B32</f>
        <v>86500</v>
      </c>
    </row>
    <row r="36" customFormat="false" ht="15" hidden="false" customHeight="false" outlineLevel="0" collapsed="false">
      <c r="A36" s="4" t="s">
        <v>43</v>
      </c>
      <c r="B36" s="12" t="n">
        <f aca="false">B14</f>
        <v>24000</v>
      </c>
    </row>
    <row r="37" customFormat="false" ht="15" hidden="false" customHeight="false" outlineLevel="0" collapsed="false">
      <c r="A37" s="14" t="s">
        <v>44</v>
      </c>
      <c r="B37" s="15" t="n">
        <f aca="false">B9-B35-B36</f>
        <v>9500</v>
      </c>
      <c r="C37" s="16" t="s">
        <v>45</v>
      </c>
    </row>
    <row r="38" customFormat="false" ht="15" hidden="false" customHeight="false" outlineLevel="0" collapsed="false">
      <c r="A38" s="4" t="s">
        <v>46</v>
      </c>
      <c r="B38" s="17" t="n">
        <f aca="false">IF(B9=0,0,B14/B9)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48</v>
      </c>
      <c r="B4" s="7"/>
    </row>
    <row r="5" customFormat="false" ht="15" hidden="false" customHeight="false" outlineLevel="0" collapsed="false">
      <c r="A5" s="4" t="s">
        <v>49</v>
      </c>
      <c r="B5" s="18" t="n">
        <f aca="false">Бюджет!B23</f>
        <v>65500</v>
      </c>
      <c r="C5" s="2" t="s">
        <v>50</v>
      </c>
    </row>
    <row r="6" customFormat="false" ht="15" hidden="false" customHeight="false" outlineLevel="0" collapsed="false">
      <c r="A6" s="4" t="s">
        <v>51</v>
      </c>
      <c r="B6" s="19" t="n">
        <v>6</v>
      </c>
      <c r="C6" s="2" t="s">
        <v>52</v>
      </c>
    </row>
    <row r="7" customFormat="false" ht="15" hidden="false" customHeight="false" outlineLevel="0" collapsed="false">
      <c r="A7" s="9" t="s">
        <v>53</v>
      </c>
      <c r="B7" s="10" t="n">
        <f aca="false">B5*B6</f>
        <v>393000</v>
      </c>
    </row>
    <row r="9" customFormat="false" ht="15" hidden="false" customHeight="false" outlineLevel="0" collapsed="false">
      <c r="A9" s="6" t="s">
        <v>54</v>
      </c>
      <c r="B9" s="7"/>
    </row>
    <row r="10" customFormat="false" ht="15" hidden="false" customHeight="false" outlineLevel="0" collapsed="false">
      <c r="A10" s="4" t="s">
        <v>55</v>
      </c>
      <c r="B10" s="8" t="n">
        <v>50000</v>
      </c>
    </row>
    <row r="11" customFormat="false" ht="15" hidden="false" customHeight="false" outlineLevel="0" collapsed="false">
      <c r="A11" s="4" t="s">
        <v>56</v>
      </c>
      <c r="B11" s="12" t="n">
        <f aca="false">MAX(B7-B10,0)</f>
        <v>343000</v>
      </c>
    </row>
    <row r="12" customFormat="false" ht="15" hidden="false" customHeight="false" outlineLevel="0" collapsed="false">
      <c r="A12" s="4" t="s">
        <v>57</v>
      </c>
      <c r="B12" s="18" t="n">
        <f aca="false">Бюджет!B14</f>
        <v>24000</v>
      </c>
    </row>
    <row r="13" customFormat="false" ht="15" hidden="false" customHeight="false" outlineLevel="0" collapsed="false">
      <c r="A13" s="13" t="s">
        <v>58</v>
      </c>
      <c r="B13" s="20" t="n">
        <f aca="false">IF(B12&lt;=0,"укажи сумму",ROUNDUP(B11/B12,0))</f>
        <v>15</v>
      </c>
    </row>
    <row r="14" customFormat="false" ht="15" hidden="false" customHeight="false" outlineLevel="0" collapsed="false">
      <c r="A14" s="21" t="s">
        <v>59</v>
      </c>
      <c r="B14" s="22" t="n">
        <f aca="false">IF(B7=0,0,B10/B7)</f>
        <v>0.127226463104326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2026-06-17T13:28:17Z</dcterms:created>
  <dc:creator>openpyxl</dc:creator>
  <dc:description/>
  <dc:language>en-US</dc:language>
  <cp:lastModifiedBy/>
  <dcterms:modified xsi:type="dcterms:W3CDTF">2026-06-17T13:28:17Z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